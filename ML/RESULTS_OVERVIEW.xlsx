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linep\Documents\GitHub\ChargeAndBreak\ML\"/>
    </mc:Choice>
  </mc:AlternateContent>
  <xr:revisionPtr revIDLastSave="0" documentId="13_ncr:1_{7CC86734-A3F4-495C-981F-2968CA3CA9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sults" sheetId="1" r:id="rId1"/>
    <sheet name="Read me" sheetId="2" r:id="rId2"/>
  </sheets>
  <definedNames>
    <definedName name="_xlnm._FilterDatabase" localSheetId="0" hidden="1">Results!$A$1:$J$108</definedName>
  </definedNames>
  <calcPr calcId="0"/>
</workbook>
</file>

<file path=xl/sharedStrings.xml><?xml version="1.0" encoding="utf-8"?>
<sst xmlns="http://schemas.openxmlformats.org/spreadsheetml/2006/main" count="670" uniqueCount="125">
  <si>
    <t>Section</t>
  </si>
  <si>
    <t>Model</t>
  </si>
  <si>
    <t>Setting</t>
  </si>
  <si>
    <t>Trained on</t>
  </si>
  <si>
    <t>Tested on</t>
  </si>
  <si>
    <t>Test routes</t>
  </si>
  <si>
    <t>Result vs look-ahead (pp)</t>
  </si>
  <si>
    <t>± (std. error)</t>
  </si>
  <si>
    <t>Runs that broke a rule</t>
  </si>
  <si>
    <t>Comment</t>
  </si>
  <si>
    <t>1. Same kind of routes as in training</t>
  </si>
  <si>
    <t>PyTorch network</t>
  </si>
  <si>
    <t>main model</t>
  </si>
  <si>
    <t>base routes (350 kW, 60 km, 500 kWh)</t>
  </si>
  <si>
    <t>base routes</t>
  </si>
  <si>
    <t>0 / 375</t>
  </si>
  <si>
    <t>2.9 % vs 2.8 % above the best schedule in hindsight; 2 ms vs 71 s per decision</t>
  </si>
  <si>
    <t>Trees (LightGBM)</t>
  </si>
  <si>
    <t>Classifier</t>
  </si>
  <si>
    <t>predicts the look-ahead's chosen action</t>
  </si>
  <si>
    <t>scikit-learn network</t>
  </si>
  <si>
    <t>Greedy rule</t>
  </si>
  <si>
    <t>reference</t>
  </si>
  <si>
    <t>—</t>
  </si>
  <si>
    <t>no shield</t>
  </si>
  <si>
    <t>38 / 375</t>
  </si>
  <si>
    <t>result on the 96 routes all 3 seeds finished; failures mostly on long routes</t>
  </si>
  <si>
    <t>18 / 375</t>
  </si>
  <si>
    <t>result on the 109 routes all 3 seeds finished</t>
  </si>
  <si>
    <t>first version, no ranking loss</t>
  </si>
  <si>
    <t>base routes (validation)</t>
  </si>
  <si>
    <t>one extra daily rest on six routes; fixed by the ranking loss</t>
  </si>
  <si>
    <t>trained on raw costs instead of per-stop differences</t>
  </si>
  <si>
    <t>65 instead of 639 training routes</t>
  </si>
  <si>
    <t>base routes, 10 % of them</t>
  </si>
  <si>
    <t>all 639 routes: +0.26 ± 0.43 in the same evaluation</t>
  </si>
  <si>
    <t>2. Different route length</t>
  </si>
  <si>
    <t>short + medium base routes</t>
  </si>
  <si>
    <t>long base routes</t>
  </si>
  <si>
    <t>0 / 90</t>
  </si>
  <si>
    <t>reference: trained on all lengths</t>
  </si>
  <si>
    <t>PyTorch trained on short + medium only: not tested</t>
  </si>
  <si>
    <t>3. Other vehicle / network (same along the route)</t>
  </si>
  <si>
    <t>chargers 150 kW</t>
  </si>
  <si>
    <t>0</t>
  </si>
  <si>
    <t>one training seed</t>
  </si>
  <si>
    <t>chargers 700 kW</t>
  </si>
  <si>
    <t>chargers 1000 kW</t>
  </si>
  <si>
    <t>battery 300 kWh</t>
  </si>
  <si>
    <t>battery 700 kWh</t>
  </si>
  <si>
    <t>battery 900 kWh</t>
  </si>
  <si>
    <t>chargers every 100 km</t>
  </si>
  <si>
    <t>all uniform variants</t>
  </si>
  <si>
    <t>all uniform variants except the tested one</t>
  </si>
  <si>
    <t>3 training seeds; an unnecessary daily rest on 16–35 of 48 routes, varies by seed</t>
  </si>
  <si>
    <t>one training seed; battery and spacing variants not tested</t>
  </si>
  <si>
    <t>one training seed; 700 / 1000 kW still training</t>
  </si>
  <si>
    <t>pending</t>
  </si>
  <si>
    <t>still training (results expected 2026-10-20)</t>
  </si>
  <si>
    <t>base routes (150 kW held out)</t>
  </si>
  <si>
    <t>35 % above the best schedule in hindsight (trees 7 %): not converted to pp</t>
  </si>
  <si>
    <t>4. Charger power varying along the route</t>
  </si>
  <si>
    <t>power-mixed routes</t>
  </si>
  <si>
    <t>1–4 / 32</t>
  </si>
  <si>
    <t>power + spacing mixed routes</t>
  </si>
  <si>
    <t>all uniform variants + 47 power-mixed routes</t>
  </si>
  <si>
    <t>all uniform variants + 121 power-mixed routes</t>
  </si>
  <si>
    <t>all uniform variants + DAgger corrections</t>
  </si>
  <si>
    <t>+ charger inputs</t>
  </si>
  <si>
    <t>ChargerNet</t>
  </si>
  <si>
    <t>built to compare chargers</t>
  </si>
  <si>
    <t>all uniform variants + 121 power-mixed routes, weighted ×5</t>
  </si>
  <si>
    <t>121 power-mixed routes only</t>
  </si>
  <si>
    <t>base case +2.5 (worse)</t>
  </si>
  <si>
    <t>all uniform variants + DAgger, 1 round (1,781 look-ahead calls)</t>
  </si>
  <si>
    <t>all uniform variants + DAgger, 2 rounds (3,557 calls)</t>
  </si>
  <si>
    <t>all uniform variants + 121 power-mixed + 117 power&amp;spacing-mixed routes</t>
  </si>
  <si>
    <t>those 238 mixed routes only</t>
  </si>
  <si>
    <t>all uniform variants + 238 mixed routes, weighted ×5</t>
  </si>
  <si>
    <t>PyTorch + look-ahead (hybrid)</t>
  </si>
  <si>
    <t>look-ahead when rest vs no rest is within 10 min</t>
  </si>
  <si>
    <t>all uniform variants + 238 mixed routes (the model chosen above)</t>
  </si>
  <si>
    <t>both kinds of mixed routes together</t>
  </si>
  <si>
    <t>1 / 192</t>
  </si>
  <si>
    <t>2.7 look-ahead calls per route; the battery failure followed a look-ahead decision</t>
  </si>
  <si>
    <t>look-ahead when rest vs no rest is within 30 min</t>
  </si>
  <si>
    <t>8.4 calls per route</t>
  </si>
  <si>
    <t>look-ahead when rest vs no rest is within 60 min</t>
  </si>
  <si>
    <t>0 / 192</t>
  </si>
  <si>
    <t>12.1 calls per route (the look-ahead alone makes about 72 decisions)</t>
  </si>
  <si>
    <t>look-ahead at every stop of the last 5 h</t>
  </si>
  <si>
    <t>18.3 calls per route</t>
  </si>
  <si>
    <t>All models</t>
  </si>
  <si>
    <t>spacing-mixed routes (power uniform)</t>
  </si>
  <si>
    <t>no look-ahead runs there; every model within about 1 pp of its uniform-route result (some PyTorch variants up to +3)</t>
  </si>
  <si>
    <t>5. Attempts to beat the look-ahead</t>
  </si>
  <si>
    <t>Rollout on the trees</t>
  </si>
  <si>
    <t>try the best 3 actions forward, keep the best</t>
  </si>
  <si>
    <t>follows scenario noise</t>
  </si>
  <si>
    <t>same, with a significance gate</t>
  </si>
  <si>
    <t>within noise; no extra rest fixed</t>
  </si>
  <si>
    <t>Fitted policy iteration</t>
  </si>
  <si>
    <t>trees corrected with their own simulated outcomes</t>
  </si>
  <si>
    <t>1,000 fresh draws</t>
  </si>
  <si>
    <t>+0.004 ± 0.081 h vs the trees: no change</t>
  </si>
  <si>
    <t>MILP end game</t>
  </si>
  <si>
    <t>exact solver for the last shifts</t>
  </si>
  <si>
    <t>routes where the look-ahead rests once too often</t>
  </si>
  <si>
    <t>worse than the student on 8 of 10 routes; stopped</t>
  </si>
  <si>
    <t>What the result means</t>
  </si>
  <si>
    <t>Extra time above the look-ahead on the same test routes, in percentage points of the gap to the best schedule found in hindsight (the manuscript's gap). Lower is better; 0 = as good as the look-ahead; negative = better. Paired route by route; models with several training seeds are averaged per route first.</t>
  </si>
  <si>
    <t>Held-out seeds 22–25. Base case: 125 routes (short, medium, long). Other vehicle / network: about 40 routes per value. Mixed charger routes: 32 power-mixed, 30 power+spacing-mixed (short and medium).</t>
  </si>
  <si>
    <t>Noise</t>
  </si>
  <si>
    <t>Typical standard error about ±0.4 pp on the base case and ±1–2 pp elsewhere; differences smaller than about twice the ± are not meaningful.</t>
  </si>
  <si>
    <t>Runs that violated a driving-time rule or ran out of battery; such a run ends there. All results use the shield unless the setting says 'no shield'.</t>
  </si>
  <si>
    <t>Look-ahead itself</t>
  </si>
  <si>
    <t>2.8 % above the best schedule on base routes, 2.4 % on power-mixed and 2.7 % on power+spacing-mixed routes; it loses nothing when charger power varies along the route.</t>
  </si>
  <si>
    <t>Base routes</t>
  </si>
  <si>
    <t>Chargers of 350 kW about every 60 km, 500 kWh battery.</t>
  </si>
  <si>
    <t>All uniform variants</t>
  </si>
  <si>
    <t>Base routes plus routes with one setting changed: battery 300 / 700 / 900 kWh, chargers 150 / 700 / 1000 kW, chargers every 30 / 100 km.</t>
  </si>
  <si>
    <t>Models</t>
  </si>
  <si>
    <t>PyTorch network = main model (ranking loss, one network per output). '+ charger inputs' = also told the power and distance of each of the next chargers. ChargerNet = PyTorch network built to compare chargers. Trees = LightGBM. Classifier = predicts the look-ahead's chosen action. scikit-learn network = MLP. Hybrid = PyTorch network that hands doubtful rest decisions to the look-ahead.</t>
  </si>
  <si>
    <t>Sources</t>
  </si>
  <si>
    <t>ML/results/*.json(l), computed with ML/scratch/cmp_test.py, cmp_noshield.py, cmp_power_torch.py, overview_mixed.py, cmp_hybrid.py and ML/code/phys_eval.py; summary in ML/RESULTS_OVERVIEW.md.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</si>
</sst>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;\-0.0;0.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/>
    </xf>
    <xf numFmtId="165" fontId="2" fillId="3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/>
    </xf>
    <xf numFmtId="165" fontId="2" fillId="4" borderId="1" xfId="0" applyNumberFormat="1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 wrapText="1"/>
    </xf>
    <xf numFmtId="164" fontId="2" fillId="5" borderId="1" xfId="0" applyNumberFormat="1" applyFont="1" applyFill="1" applyBorder="1" applyAlignment="1">
      <alignment vertical="top"/>
    </xf>
    <xf numFmtId="165" fontId="2" fillId="5" borderId="1" xfId="0" applyNumberFormat="1" applyFont="1" applyFill="1" applyBorder="1" applyAlignment="1">
      <alignment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37" sqref="C37"/>
    </sheetView>
  </sheetViews>
  <sheetFormatPr defaultRowHeight="15" x14ac:dyDescent="0.25"/>
  <cols>
    <col min="1" max="1" width="46.85546875" customWidth="1"/>
    <col min="2" max="2" width="26" customWidth="1"/>
    <col min="3" max="3" width="40" customWidth="1"/>
    <col min="4" max="4" width="52" customWidth="1"/>
    <col min="5" max="5" width="27.7109375" customWidth="1"/>
    <col min="6" max="6" width="11" customWidth="1"/>
    <col min="7" max="7" width="14" customWidth="1"/>
    <col min="8" max="8" width="18.85546875" customWidth="1"/>
    <col min="9" max="9" width="28.42578125" customWidth="1"/>
    <col min="10" max="10" width="70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2">
        <v>125</v>
      </c>
      <c r="G2" s="4">
        <v>0.17</v>
      </c>
      <c r="H2" s="5">
        <v>0.3</v>
      </c>
      <c r="I2" s="2" t="s">
        <v>15</v>
      </c>
      <c r="J2" s="3" t="s">
        <v>16</v>
      </c>
    </row>
    <row r="3" spans="1:10" x14ac:dyDescent="0.25">
      <c r="A3" s="2" t="s">
        <v>10</v>
      </c>
      <c r="B3" s="2" t="s">
        <v>17</v>
      </c>
      <c r="C3" s="3"/>
      <c r="D3" s="3" t="s">
        <v>13</v>
      </c>
      <c r="E3" s="3" t="s">
        <v>14</v>
      </c>
      <c r="F3" s="2">
        <v>125</v>
      </c>
      <c r="G3" s="4">
        <v>0.48</v>
      </c>
      <c r="H3" s="5">
        <v>0.35</v>
      </c>
      <c r="I3" s="2" t="s">
        <v>15</v>
      </c>
      <c r="J3" s="3"/>
    </row>
    <row r="4" spans="1:10" x14ac:dyDescent="0.25">
      <c r="A4" s="2" t="s">
        <v>10</v>
      </c>
      <c r="B4" s="2" t="s">
        <v>18</v>
      </c>
      <c r="C4" s="3" t="s">
        <v>19</v>
      </c>
      <c r="D4" s="3" t="s">
        <v>13</v>
      </c>
      <c r="E4" s="3" t="s">
        <v>14</v>
      </c>
      <c r="F4" s="2">
        <v>125</v>
      </c>
      <c r="G4" s="4">
        <v>1.02</v>
      </c>
      <c r="H4" s="5">
        <v>0.36</v>
      </c>
      <c r="I4" s="2" t="s">
        <v>15</v>
      </c>
      <c r="J4" s="3"/>
    </row>
    <row r="5" spans="1:10" x14ac:dyDescent="0.25">
      <c r="A5" s="2" t="s">
        <v>10</v>
      </c>
      <c r="B5" s="2" t="s">
        <v>20</v>
      </c>
      <c r="C5" s="3"/>
      <c r="D5" s="3" t="s">
        <v>13</v>
      </c>
      <c r="E5" s="3" t="s">
        <v>14</v>
      </c>
      <c r="F5" s="2">
        <v>125</v>
      </c>
      <c r="G5" s="4">
        <v>1.56</v>
      </c>
      <c r="H5" s="5">
        <v>0.35</v>
      </c>
      <c r="I5" s="2" t="s">
        <v>15</v>
      </c>
      <c r="J5" s="3"/>
    </row>
    <row r="6" spans="1:10" x14ac:dyDescent="0.25">
      <c r="A6" s="2" t="s">
        <v>10</v>
      </c>
      <c r="B6" s="2" t="s">
        <v>21</v>
      </c>
      <c r="C6" s="3" t="s">
        <v>22</v>
      </c>
      <c r="D6" s="3" t="s">
        <v>23</v>
      </c>
      <c r="E6" s="3" t="s">
        <v>14</v>
      </c>
      <c r="F6" s="2">
        <v>125</v>
      </c>
      <c r="G6" s="4">
        <v>2.78</v>
      </c>
      <c r="H6" s="5">
        <v>0.35</v>
      </c>
      <c r="I6" s="2" t="s">
        <v>23</v>
      </c>
      <c r="J6" s="3"/>
    </row>
    <row r="7" spans="1:10" x14ac:dyDescent="0.25">
      <c r="A7" s="2" t="s">
        <v>10</v>
      </c>
      <c r="B7" s="2" t="s">
        <v>11</v>
      </c>
      <c r="C7" s="3" t="s">
        <v>24</v>
      </c>
      <c r="D7" s="3" t="s">
        <v>13</v>
      </c>
      <c r="E7" s="3" t="s">
        <v>14</v>
      </c>
      <c r="F7" s="2">
        <v>125</v>
      </c>
      <c r="G7" s="4">
        <v>-0.18</v>
      </c>
      <c r="H7" s="5">
        <v>0.39</v>
      </c>
      <c r="I7" s="2" t="s">
        <v>25</v>
      </c>
      <c r="J7" s="3" t="s">
        <v>26</v>
      </c>
    </row>
    <row r="8" spans="1:10" x14ac:dyDescent="0.25">
      <c r="A8" s="2" t="s">
        <v>10</v>
      </c>
      <c r="B8" s="2" t="s">
        <v>17</v>
      </c>
      <c r="C8" s="3" t="s">
        <v>24</v>
      </c>
      <c r="D8" s="3" t="s">
        <v>13</v>
      </c>
      <c r="E8" s="3" t="s">
        <v>14</v>
      </c>
      <c r="F8" s="2">
        <v>125</v>
      </c>
      <c r="G8" s="4">
        <v>-0.16</v>
      </c>
      <c r="H8" s="5">
        <v>0.38</v>
      </c>
      <c r="I8" s="2" t="s">
        <v>27</v>
      </c>
      <c r="J8" s="3" t="s">
        <v>28</v>
      </c>
    </row>
    <row r="9" spans="1:10" x14ac:dyDescent="0.25">
      <c r="A9" s="2" t="s">
        <v>10</v>
      </c>
      <c r="B9" s="2" t="s">
        <v>11</v>
      </c>
      <c r="C9" s="3" t="s">
        <v>29</v>
      </c>
      <c r="D9" s="3" t="s">
        <v>13</v>
      </c>
      <c r="E9" s="3" t="s">
        <v>30</v>
      </c>
      <c r="F9" s="2"/>
      <c r="G9" s="4">
        <v>2.37</v>
      </c>
      <c r="H9" s="5"/>
      <c r="I9" s="2" t="s">
        <v>23</v>
      </c>
      <c r="J9" s="3" t="s">
        <v>31</v>
      </c>
    </row>
    <row r="10" spans="1:10" ht="25.5" x14ac:dyDescent="0.25">
      <c r="A10" s="2" t="s">
        <v>10</v>
      </c>
      <c r="B10" s="2" t="s">
        <v>17</v>
      </c>
      <c r="C10" s="3" t="s">
        <v>32</v>
      </c>
      <c r="D10" s="3" t="s">
        <v>13</v>
      </c>
      <c r="E10" s="3" t="s">
        <v>14</v>
      </c>
      <c r="F10" s="2">
        <v>125</v>
      </c>
      <c r="G10" s="4">
        <v>3.54</v>
      </c>
      <c r="H10" s="5"/>
      <c r="I10" s="2" t="s">
        <v>23</v>
      </c>
      <c r="J10" s="3"/>
    </row>
    <row r="11" spans="1:10" ht="25.5" x14ac:dyDescent="0.25">
      <c r="A11" s="2" t="s">
        <v>10</v>
      </c>
      <c r="B11" s="2" t="s">
        <v>20</v>
      </c>
      <c r="C11" s="3" t="s">
        <v>32</v>
      </c>
      <c r="D11" s="3" t="s">
        <v>13</v>
      </c>
      <c r="E11" s="3" t="s">
        <v>14</v>
      </c>
      <c r="F11" s="2">
        <v>125</v>
      </c>
      <c r="G11" s="4">
        <v>43</v>
      </c>
      <c r="H11" s="5"/>
      <c r="I11" s="2" t="s">
        <v>23</v>
      </c>
      <c r="J11" s="3"/>
    </row>
    <row r="12" spans="1:10" x14ac:dyDescent="0.25">
      <c r="A12" s="2" t="s">
        <v>10</v>
      </c>
      <c r="B12" s="2" t="s">
        <v>17</v>
      </c>
      <c r="C12" s="3" t="s">
        <v>33</v>
      </c>
      <c r="D12" s="3" t="s">
        <v>34</v>
      </c>
      <c r="E12" s="3" t="s">
        <v>14</v>
      </c>
      <c r="F12" s="2">
        <v>125</v>
      </c>
      <c r="G12" s="4">
        <v>0.87</v>
      </c>
      <c r="H12" s="5">
        <v>0.35</v>
      </c>
      <c r="I12" s="2" t="s">
        <v>23</v>
      </c>
      <c r="J12" s="3" t="s">
        <v>35</v>
      </c>
    </row>
    <row r="13" spans="1:10" s="16" customFormat="1" x14ac:dyDescent="0.25">
      <c r="A13" s="12" t="s">
        <v>36</v>
      </c>
      <c r="B13" s="12" t="s">
        <v>17</v>
      </c>
      <c r="C13" s="13"/>
      <c r="D13" s="13" t="s">
        <v>37</v>
      </c>
      <c r="E13" s="13" t="s">
        <v>38</v>
      </c>
      <c r="F13" s="12">
        <v>30</v>
      </c>
      <c r="G13" s="14">
        <v>-0.31</v>
      </c>
      <c r="H13" s="15">
        <v>0.55000000000000004</v>
      </c>
      <c r="I13" s="12" t="s">
        <v>39</v>
      </c>
      <c r="J13" s="13"/>
    </row>
    <row r="14" spans="1:10" s="16" customFormat="1" x14ac:dyDescent="0.25">
      <c r="A14" s="12" t="s">
        <v>36</v>
      </c>
      <c r="B14" s="12" t="s">
        <v>18</v>
      </c>
      <c r="C14" s="13"/>
      <c r="D14" s="13" t="s">
        <v>37</v>
      </c>
      <c r="E14" s="13" t="s">
        <v>38</v>
      </c>
      <c r="F14" s="12">
        <v>30</v>
      </c>
      <c r="G14" s="14">
        <v>0.45</v>
      </c>
      <c r="H14" s="15">
        <v>0.59</v>
      </c>
      <c r="I14" s="12" t="s">
        <v>39</v>
      </c>
      <c r="J14" s="13"/>
    </row>
    <row r="15" spans="1:10" s="16" customFormat="1" x14ac:dyDescent="0.25">
      <c r="A15" s="12" t="s">
        <v>36</v>
      </c>
      <c r="B15" s="12" t="s">
        <v>20</v>
      </c>
      <c r="C15" s="13"/>
      <c r="D15" s="13" t="s">
        <v>37</v>
      </c>
      <c r="E15" s="13" t="s">
        <v>38</v>
      </c>
      <c r="F15" s="12">
        <v>30</v>
      </c>
      <c r="G15" s="14">
        <v>2.11</v>
      </c>
      <c r="H15" s="15">
        <v>0.61</v>
      </c>
      <c r="I15" s="12" t="s">
        <v>39</v>
      </c>
      <c r="J15" s="13"/>
    </row>
    <row r="16" spans="1:10" s="16" customFormat="1" x14ac:dyDescent="0.25">
      <c r="A16" s="12" t="s">
        <v>36</v>
      </c>
      <c r="B16" s="12" t="s">
        <v>17</v>
      </c>
      <c r="C16" s="13" t="s">
        <v>40</v>
      </c>
      <c r="D16" s="13" t="s">
        <v>13</v>
      </c>
      <c r="E16" s="13" t="s">
        <v>38</v>
      </c>
      <c r="F16" s="12">
        <v>30</v>
      </c>
      <c r="G16" s="14">
        <v>-0.05</v>
      </c>
      <c r="H16" s="15">
        <v>0.53</v>
      </c>
      <c r="I16" s="12" t="s">
        <v>39</v>
      </c>
      <c r="J16" s="13"/>
    </row>
    <row r="17" spans="1:10" s="16" customFormat="1" x14ac:dyDescent="0.25">
      <c r="A17" s="12" t="s">
        <v>36</v>
      </c>
      <c r="B17" s="12" t="s">
        <v>11</v>
      </c>
      <c r="C17" s="13" t="s">
        <v>40</v>
      </c>
      <c r="D17" s="13" t="s">
        <v>13</v>
      </c>
      <c r="E17" s="13" t="s">
        <v>38</v>
      </c>
      <c r="F17" s="12">
        <v>30</v>
      </c>
      <c r="G17" s="14">
        <v>-0.37</v>
      </c>
      <c r="H17" s="15">
        <v>0.54</v>
      </c>
      <c r="I17" s="12" t="s">
        <v>39</v>
      </c>
      <c r="J17" s="13" t="s">
        <v>41</v>
      </c>
    </row>
    <row r="18" spans="1:10" x14ac:dyDescent="0.25">
      <c r="A18" s="2" t="s">
        <v>42</v>
      </c>
      <c r="B18" s="2" t="s">
        <v>17</v>
      </c>
      <c r="C18" s="3"/>
      <c r="D18" s="3" t="s">
        <v>13</v>
      </c>
      <c r="E18" s="3" t="s">
        <v>43</v>
      </c>
      <c r="F18" s="2">
        <v>40</v>
      </c>
      <c r="G18" s="4">
        <v>9.9</v>
      </c>
      <c r="H18" s="5">
        <v>1.7</v>
      </c>
      <c r="I18" s="2" t="s">
        <v>44</v>
      </c>
      <c r="J18" s="3" t="s">
        <v>45</v>
      </c>
    </row>
    <row r="19" spans="1:10" x14ac:dyDescent="0.25">
      <c r="A19" s="2" t="s">
        <v>42</v>
      </c>
      <c r="B19" s="2" t="s">
        <v>17</v>
      </c>
      <c r="C19" s="3"/>
      <c r="D19" s="3" t="s">
        <v>13</v>
      </c>
      <c r="E19" s="3" t="s">
        <v>46</v>
      </c>
      <c r="F19" s="2">
        <v>40</v>
      </c>
      <c r="G19" s="4">
        <v>3</v>
      </c>
      <c r="H19" s="5">
        <v>0.9</v>
      </c>
      <c r="I19" s="2" t="s">
        <v>44</v>
      </c>
      <c r="J19" s="3" t="s">
        <v>45</v>
      </c>
    </row>
    <row r="20" spans="1:10" x14ac:dyDescent="0.25">
      <c r="A20" s="2" t="s">
        <v>42</v>
      </c>
      <c r="B20" s="2" t="s">
        <v>17</v>
      </c>
      <c r="C20" s="3"/>
      <c r="D20" s="3" t="s">
        <v>13</v>
      </c>
      <c r="E20" s="3" t="s">
        <v>47</v>
      </c>
      <c r="F20" s="2">
        <v>36</v>
      </c>
      <c r="G20" s="4">
        <v>1.8</v>
      </c>
      <c r="H20" s="5">
        <v>0.8</v>
      </c>
      <c r="I20" s="2" t="s">
        <v>44</v>
      </c>
      <c r="J20" s="3" t="s">
        <v>45</v>
      </c>
    </row>
    <row r="21" spans="1:10" x14ac:dyDescent="0.25">
      <c r="A21" s="2" t="s">
        <v>42</v>
      </c>
      <c r="B21" s="2" t="s">
        <v>17</v>
      </c>
      <c r="C21" s="3"/>
      <c r="D21" s="3" t="s">
        <v>13</v>
      </c>
      <c r="E21" s="3" t="s">
        <v>48</v>
      </c>
      <c r="F21" s="2">
        <v>40</v>
      </c>
      <c r="G21" s="4">
        <v>2.6</v>
      </c>
      <c r="H21" s="5">
        <v>1</v>
      </c>
      <c r="I21" s="2" t="s">
        <v>44</v>
      </c>
      <c r="J21" s="3" t="s">
        <v>45</v>
      </c>
    </row>
    <row r="22" spans="1:10" x14ac:dyDescent="0.25">
      <c r="A22" s="2" t="s">
        <v>42</v>
      </c>
      <c r="B22" s="2" t="s">
        <v>17</v>
      </c>
      <c r="C22" s="3"/>
      <c r="D22" s="3" t="s">
        <v>13</v>
      </c>
      <c r="E22" s="3" t="s">
        <v>49</v>
      </c>
      <c r="F22" s="2">
        <v>40</v>
      </c>
      <c r="G22" s="4">
        <v>2</v>
      </c>
      <c r="H22" s="5">
        <v>0.8</v>
      </c>
      <c r="I22" s="2" t="s">
        <v>44</v>
      </c>
      <c r="J22" s="3" t="s">
        <v>45</v>
      </c>
    </row>
    <row r="23" spans="1:10" x14ac:dyDescent="0.25">
      <c r="A23" s="2" t="s">
        <v>42</v>
      </c>
      <c r="B23" s="2" t="s">
        <v>17</v>
      </c>
      <c r="C23" s="3"/>
      <c r="D23" s="3" t="s">
        <v>13</v>
      </c>
      <c r="E23" s="3" t="s">
        <v>50</v>
      </c>
      <c r="F23" s="2">
        <v>40</v>
      </c>
      <c r="G23" s="4">
        <v>1.8</v>
      </c>
      <c r="H23" s="5">
        <v>1</v>
      </c>
      <c r="I23" s="2" t="s">
        <v>44</v>
      </c>
      <c r="J23" s="3" t="s">
        <v>45</v>
      </c>
    </row>
    <row r="24" spans="1:10" x14ac:dyDescent="0.25">
      <c r="A24" s="2" t="s">
        <v>42</v>
      </c>
      <c r="B24" s="2" t="s">
        <v>17</v>
      </c>
      <c r="C24" s="3"/>
      <c r="D24" s="3" t="s">
        <v>13</v>
      </c>
      <c r="E24" s="3" t="s">
        <v>51</v>
      </c>
      <c r="F24" s="2">
        <v>40</v>
      </c>
      <c r="G24" s="4">
        <v>-0.1</v>
      </c>
      <c r="H24" s="5">
        <v>1</v>
      </c>
      <c r="I24" s="2" t="s">
        <v>44</v>
      </c>
      <c r="J24" s="3" t="s">
        <v>45</v>
      </c>
    </row>
    <row r="25" spans="1:10" x14ac:dyDescent="0.25">
      <c r="A25" s="2" t="s">
        <v>42</v>
      </c>
      <c r="B25" s="2" t="s">
        <v>17</v>
      </c>
      <c r="C25" s="3"/>
      <c r="D25" s="3" t="s">
        <v>52</v>
      </c>
      <c r="E25" s="3" t="s">
        <v>43</v>
      </c>
      <c r="F25" s="2">
        <v>40</v>
      </c>
      <c r="G25" s="4">
        <v>0.5</v>
      </c>
      <c r="H25" s="5">
        <v>1</v>
      </c>
      <c r="I25" s="2" t="s">
        <v>44</v>
      </c>
      <c r="J25" s="3" t="s">
        <v>45</v>
      </c>
    </row>
    <row r="26" spans="1:10" x14ac:dyDescent="0.25">
      <c r="A26" s="2" t="s">
        <v>42</v>
      </c>
      <c r="B26" s="2" t="s">
        <v>17</v>
      </c>
      <c r="C26" s="3"/>
      <c r="D26" s="3" t="s">
        <v>52</v>
      </c>
      <c r="E26" s="3" t="s">
        <v>46</v>
      </c>
      <c r="F26" s="2">
        <v>40</v>
      </c>
      <c r="G26" s="4">
        <v>1.8</v>
      </c>
      <c r="H26" s="5">
        <v>0.8</v>
      </c>
      <c r="I26" s="2" t="s">
        <v>44</v>
      </c>
      <c r="J26" s="3" t="s">
        <v>45</v>
      </c>
    </row>
    <row r="27" spans="1:10" x14ac:dyDescent="0.25">
      <c r="A27" s="2" t="s">
        <v>42</v>
      </c>
      <c r="B27" s="2" t="s">
        <v>17</v>
      </c>
      <c r="C27" s="3"/>
      <c r="D27" s="3" t="s">
        <v>52</v>
      </c>
      <c r="E27" s="3" t="s">
        <v>47</v>
      </c>
      <c r="F27" s="2">
        <v>36</v>
      </c>
      <c r="G27" s="4">
        <v>2.4</v>
      </c>
      <c r="H27" s="5">
        <v>1</v>
      </c>
      <c r="I27" s="2" t="s">
        <v>44</v>
      </c>
      <c r="J27" s="3" t="s">
        <v>45</v>
      </c>
    </row>
    <row r="28" spans="1:10" x14ac:dyDescent="0.25">
      <c r="A28" s="2" t="s">
        <v>42</v>
      </c>
      <c r="B28" s="2" t="s">
        <v>17</v>
      </c>
      <c r="C28" s="3"/>
      <c r="D28" s="3" t="s">
        <v>52</v>
      </c>
      <c r="E28" s="3" t="s">
        <v>48</v>
      </c>
      <c r="F28" s="2">
        <v>40</v>
      </c>
      <c r="G28" s="4">
        <v>0.3</v>
      </c>
      <c r="H28" s="5">
        <v>1.2</v>
      </c>
      <c r="I28" s="2" t="s">
        <v>44</v>
      </c>
      <c r="J28" s="3" t="s">
        <v>45</v>
      </c>
    </row>
    <row r="29" spans="1:10" x14ac:dyDescent="0.25">
      <c r="A29" s="2" t="s">
        <v>42</v>
      </c>
      <c r="B29" s="2" t="s">
        <v>17</v>
      </c>
      <c r="C29" s="3"/>
      <c r="D29" s="3" t="s">
        <v>52</v>
      </c>
      <c r="E29" s="3" t="s">
        <v>49</v>
      </c>
      <c r="F29" s="2">
        <v>40</v>
      </c>
      <c r="G29" s="4">
        <v>1.5</v>
      </c>
      <c r="H29" s="5">
        <v>0.9</v>
      </c>
      <c r="I29" s="2" t="s">
        <v>44</v>
      </c>
      <c r="J29" s="3" t="s">
        <v>45</v>
      </c>
    </row>
    <row r="30" spans="1:10" x14ac:dyDescent="0.25">
      <c r="A30" s="2" t="s">
        <v>42</v>
      </c>
      <c r="B30" s="2" t="s">
        <v>17</v>
      </c>
      <c r="C30" s="3"/>
      <c r="D30" s="3" t="s">
        <v>52</v>
      </c>
      <c r="E30" s="3" t="s">
        <v>50</v>
      </c>
      <c r="F30" s="2">
        <v>40</v>
      </c>
      <c r="G30" s="4">
        <v>1.6</v>
      </c>
      <c r="H30" s="5">
        <v>1.2</v>
      </c>
      <c r="I30" s="2" t="s">
        <v>44</v>
      </c>
      <c r="J30" s="3" t="s">
        <v>45</v>
      </c>
    </row>
    <row r="31" spans="1:10" x14ac:dyDescent="0.25">
      <c r="A31" s="2" t="s">
        <v>42</v>
      </c>
      <c r="B31" s="2" t="s">
        <v>17</v>
      </c>
      <c r="C31" s="3"/>
      <c r="D31" s="3" t="s">
        <v>52</v>
      </c>
      <c r="E31" s="3" t="s">
        <v>51</v>
      </c>
      <c r="F31" s="2">
        <v>40</v>
      </c>
      <c r="G31" s="4">
        <v>0.2</v>
      </c>
      <c r="H31" s="5">
        <v>1</v>
      </c>
      <c r="I31" s="2" t="s">
        <v>44</v>
      </c>
      <c r="J31" s="3" t="s">
        <v>45</v>
      </c>
    </row>
    <row r="32" spans="1:10" x14ac:dyDescent="0.25">
      <c r="A32" s="2" t="s">
        <v>42</v>
      </c>
      <c r="B32" s="2" t="s">
        <v>17</v>
      </c>
      <c r="C32" s="3"/>
      <c r="D32" s="3" t="s">
        <v>52</v>
      </c>
      <c r="E32" s="3" t="s">
        <v>14</v>
      </c>
      <c r="F32" s="2">
        <v>125</v>
      </c>
      <c r="G32" s="4">
        <v>0.7</v>
      </c>
      <c r="H32" s="5">
        <v>0.4</v>
      </c>
      <c r="I32" s="2" t="s">
        <v>44</v>
      </c>
      <c r="J32" s="3" t="s">
        <v>45</v>
      </c>
    </row>
    <row r="33" spans="1:10" x14ac:dyDescent="0.25">
      <c r="A33" s="2" t="s">
        <v>42</v>
      </c>
      <c r="B33" s="2" t="s">
        <v>17</v>
      </c>
      <c r="C33" s="3"/>
      <c r="D33" s="3" t="s">
        <v>53</v>
      </c>
      <c r="E33" s="3" t="s">
        <v>43</v>
      </c>
      <c r="F33" s="2">
        <v>40</v>
      </c>
      <c r="G33" s="4">
        <v>5.5</v>
      </c>
      <c r="H33" s="5">
        <v>1.4</v>
      </c>
      <c r="I33" s="2" t="s">
        <v>44</v>
      </c>
      <c r="J33" s="3" t="s">
        <v>45</v>
      </c>
    </row>
    <row r="34" spans="1:10" x14ac:dyDescent="0.25">
      <c r="A34" s="2" t="s">
        <v>42</v>
      </c>
      <c r="B34" s="2" t="s">
        <v>17</v>
      </c>
      <c r="C34" s="3"/>
      <c r="D34" s="3" t="s">
        <v>53</v>
      </c>
      <c r="E34" s="3" t="s">
        <v>46</v>
      </c>
      <c r="F34" s="2">
        <v>40</v>
      </c>
      <c r="G34" s="4">
        <v>2.5</v>
      </c>
      <c r="H34" s="5">
        <v>1.1000000000000001</v>
      </c>
      <c r="I34" s="2" t="s">
        <v>44</v>
      </c>
      <c r="J34" s="3" t="s">
        <v>45</v>
      </c>
    </row>
    <row r="35" spans="1:10" x14ac:dyDescent="0.25">
      <c r="A35" s="2" t="s">
        <v>42</v>
      </c>
      <c r="B35" s="2" t="s">
        <v>17</v>
      </c>
      <c r="C35" s="3"/>
      <c r="D35" s="3" t="s">
        <v>53</v>
      </c>
      <c r="E35" s="3" t="s">
        <v>47</v>
      </c>
      <c r="F35" s="2">
        <v>36</v>
      </c>
      <c r="G35" s="4">
        <v>1.9</v>
      </c>
      <c r="H35" s="5">
        <v>0.9</v>
      </c>
      <c r="I35" s="2" t="s">
        <v>44</v>
      </c>
      <c r="J35" s="3" t="s">
        <v>45</v>
      </c>
    </row>
    <row r="36" spans="1:10" x14ac:dyDescent="0.25">
      <c r="A36" s="2" t="s">
        <v>42</v>
      </c>
      <c r="B36" s="2" t="s">
        <v>17</v>
      </c>
      <c r="C36" s="3"/>
      <c r="D36" s="3" t="s">
        <v>53</v>
      </c>
      <c r="E36" s="3" t="s">
        <v>48</v>
      </c>
      <c r="F36" s="2">
        <v>40</v>
      </c>
      <c r="G36" s="4">
        <v>0.8</v>
      </c>
      <c r="H36" s="5">
        <v>1.4</v>
      </c>
      <c r="I36" s="2" t="s">
        <v>44</v>
      </c>
      <c r="J36" s="3" t="s">
        <v>45</v>
      </c>
    </row>
    <row r="37" spans="1:10" x14ac:dyDescent="0.25">
      <c r="A37" s="2" t="s">
        <v>42</v>
      </c>
      <c r="B37" s="2" t="s">
        <v>17</v>
      </c>
      <c r="C37" s="3"/>
      <c r="D37" s="3" t="s">
        <v>53</v>
      </c>
      <c r="E37" s="3" t="s">
        <v>49</v>
      </c>
      <c r="F37" s="2">
        <v>40</v>
      </c>
      <c r="G37" s="4">
        <v>0.9</v>
      </c>
      <c r="H37" s="5">
        <v>0.4</v>
      </c>
      <c r="I37" s="2" t="s">
        <v>44</v>
      </c>
      <c r="J37" s="3" t="s">
        <v>45</v>
      </c>
    </row>
    <row r="38" spans="1:10" x14ac:dyDescent="0.25">
      <c r="A38" s="2" t="s">
        <v>42</v>
      </c>
      <c r="B38" s="2" t="s">
        <v>17</v>
      </c>
      <c r="C38" s="3"/>
      <c r="D38" s="3" t="s">
        <v>53</v>
      </c>
      <c r="E38" s="3" t="s">
        <v>50</v>
      </c>
      <c r="F38" s="2">
        <v>40</v>
      </c>
      <c r="G38" s="4">
        <v>1.6</v>
      </c>
      <c r="H38" s="5">
        <v>1.2</v>
      </c>
      <c r="I38" s="2" t="s">
        <v>44</v>
      </c>
      <c r="J38" s="3" t="s">
        <v>45</v>
      </c>
    </row>
    <row r="39" spans="1:10" x14ac:dyDescent="0.25">
      <c r="A39" s="2" t="s">
        <v>42</v>
      </c>
      <c r="B39" s="2" t="s">
        <v>17</v>
      </c>
      <c r="C39" s="3"/>
      <c r="D39" s="3" t="s">
        <v>53</v>
      </c>
      <c r="E39" s="3" t="s">
        <v>51</v>
      </c>
      <c r="F39" s="2">
        <v>40</v>
      </c>
      <c r="G39" s="4">
        <v>0.2</v>
      </c>
      <c r="H39" s="5">
        <v>0.9</v>
      </c>
      <c r="I39" s="2" t="s">
        <v>44</v>
      </c>
      <c r="J39" s="3" t="s">
        <v>45</v>
      </c>
    </row>
    <row r="40" spans="1:10" x14ac:dyDescent="0.25">
      <c r="A40" s="2" t="s">
        <v>42</v>
      </c>
      <c r="B40" s="2" t="s">
        <v>11</v>
      </c>
      <c r="C40" s="3"/>
      <c r="D40" s="3" t="s">
        <v>13</v>
      </c>
      <c r="E40" s="3" t="s">
        <v>43</v>
      </c>
      <c r="F40" s="2">
        <v>40</v>
      </c>
      <c r="G40" s="4">
        <v>17.600000000000001</v>
      </c>
      <c r="H40" s="5">
        <v>1.6</v>
      </c>
      <c r="I40" s="2" t="s">
        <v>44</v>
      </c>
      <c r="J40" s="3" t="s">
        <v>54</v>
      </c>
    </row>
    <row r="41" spans="1:10" x14ac:dyDescent="0.25">
      <c r="A41" s="2" t="s">
        <v>42</v>
      </c>
      <c r="B41" s="2" t="s">
        <v>11</v>
      </c>
      <c r="C41" s="3"/>
      <c r="D41" s="3" t="s">
        <v>13</v>
      </c>
      <c r="E41" s="3" t="s">
        <v>46</v>
      </c>
      <c r="F41" s="2">
        <v>40</v>
      </c>
      <c r="G41" s="4">
        <v>4.0999999999999996</v>
      </c>
      <c r="H41" s="5">
        <v>0.6</v>
      </c>
      <c r="I41" s="2" t="s">
        <v>44</v>
      </c>
      <c r="J41" s="3" t="s">
        <v>54</v>
      </c>
    </row>
    <row r="42" spans="1:10" x14ac:dyDescent="0.25">
      <c r="A42" s="2" t="s">
        <v>42</v>
      </c>
      <c r="B42" s="2" t="s">
        <v>11</v>
      </c>
      <c r="C42" s="3"/>
      <c r="D42" s="3" t="s">
        <v>13</v>
      </c>
      <c r="E42" s="3" t="s">
        <v>47</v>
      </c>
      <c r="F42" s="2">
        <v>36</v>
      </c>
      <c r="G42" s="4">
        <v>15.4</v>
      </c>
      <c r="H42" s="5">
        <v>1.2</v>
      </c>
      <c r="I42" s="2" t="s">
        <v>44</v>
      </c>
      <c r="J42" s="3" t="s">
        <v>54</v>
      </c>
    </row>
    <row r="43" spans="1:10" x14ac:dyDescent="0.25">
      <c r="A43" s="2" t="s">
        <v>42</v>
      </c>
      <c r="B43" s="2" t="s">
        <v>11</v>
      </c>
      <c r="C43" s="3"/>
      <c r="D43" s="3" t="s">
        <v>13</v>
      </c>
      <c r="E43" s="3" t="s">
        <v>14</v>
      </c>
      <c r="F43" s="2">
        <v>125</v>
      </c>
      <c r="G43" s="4">
        <v>0.1</v>
      </c>
      <c r="H43" s="5">
        <v>0.4</v>
      </c>
      <c r="I43" s="2" t="s">
        <v>44</v>
      </c>
      <c r="J43" s="3" t="s">
        <v>54</v>
      </c>
    </row>
    <row r="44" spans="1:10" x14ac:dyDescent="0.25">
      <c r="A44" s="2" t="s">
        <v>42</v>
      </c>
      <c r="B44" s="2" t="s">
        <v>11</v>
      </c>
      <c r="C44" s="3"/>
      <c r="D44" s="3" t="s">
        <v>52</v>
      </c>
      <c r="E44" s="3" t="s">
        <v>43</v>
      </c>
      <c r="F44" s="2">
        <v>40</v>
      </c>
      <c r="G44" s="4">
        <v>0.2</v>
      </c>
      <c r="H44" s="5">
        <v>0.9</v>
      </c>
      <c r="I44" s="2" t="s">
        <v>44</v>
      </c>
      <c r="J44" s="3" t="s">
        <v>55</v>
      </c>
    </row>
    <row r="45" spans="1:10" x14ac:dyDescent="0.25">
      <c r="A45" s="2" t="s">
        <v>42</v>
      </c>
      <c r="B45" s="2" t="s">
        <v>11</v>
      </c>
      <c r="C45" s="3"/>
      <c r="D45" s="3" t="s">
        <v>52</v>
      </c>
      <c r="E45" s="3" t="s">
        <v>46</v>
      </c>
      <c r="F45" s="2">
        <v>40</v>
      </c>
      <c r="G45" s="4">
        <v>1</v>
      </c>
      <c r="H45" s="5">
        <v>0.8</v>
      </c>
      <c r="I45" s="2" t="s">
        <v>44</v>
      </c>
      <c r="J45" s="3" t="s">
        <v>55</v>
      </c>
    </row>
    <row r="46" spans="1:10" x14ac:dyDescent="0.25">
      <c r="A46" s="2" t="s">
        <v>42</v>
      </c>
      <c r="B46" s="2" t="s">
        <v>11</v>
      </c>
      <c r="C46" s="3"/>
      <c r="D46" s="3" t="s">
        <v>52</v>
      </c>
      <c r="E46" s="3" t="s">
        <v>47</v>
      </c>
      <c r="F46" s="2">
        <v>36</v>
      </c>
      <c r="G46" s="4">
        <v>0</v>
      </c>
      <c r="H46" s="5">
        <v>0.9</v>
      </c>
      <c r="I46" s="2" t="s">
        <v>44</v>
      </c>
      <c r="J46" s="3" t="s">
        <v>55</v>
      </c>
    </row>
    <row r="47" spans="1:10" x14ac:dyDescent="0.25">
      <c r="A47" s="2" t="s">
        <v>42</v>
      </c>
      <c r="B47" s="2" t="s">
        <v>11</v>
      </c>
      <c r="C47" s="3"/>
      <c r="D47" s="3" t="s">
        <v>52</v>
      </c>
      <c r="E47" s="3" t="s">
        <v>14</v>
      </c>
      <c r="F47" s="2">
        <v>125</v>
      </c>
      <c r="G47" s="4">
        <v>0.4</v>
      </c>
      <c r="H47" s="5">
        <v>0.5</v>
      </c>
      <c r="I47" s="2" t="s">
        <v>44</v>
      </c>
      <c r="J47" s="3" t="s">
        <v>55</v>
      </c>
    </row>
    <row r="48" spans="1:10" x14ac:dyDescent="0.25">
      <c r="A48" s="2" t="s">
        <v>42</v>
      </c>
      <c r="B48" s="2" t="s">
        <v>11</v>
      </c>
      <c r="C48" s="3"/>
      <c r="D48" s="3" t="s">
        <v>53</v>
      </c>
      <c r="E48" s="3" t="s">
        <v>43</v>
      </c>
      <c r="F48" s="2">
        <v>40</v>
      </c>
      <c r="G48" s="4">
        <v>7.3</v>
      </c>
      <c r="H48" s="5">
        <v>1.7</v>
      </c>
      <c r="I48" s="2" t="s">
        <v>44</v>
      </c>
      <c r="J48" s="3" t="s">
        <v>56</v>
      </c>
    </row>
    <row r="49" spans="1:10" x14ac:dyDescent="0.25">
      <c r="A49" s="2" t="s">
        <v>42</v>
      </c>
      <c r="B49" s="2" t="s">
        <v>11</v>
      </c>
      <c r="C49" s="3"/>
      <c r="D49" s="3" t="s">
        <v>53</v>
      </c>
      <c r="E49" s="3" t="s">
        <v>46</v>
      </c>
      <c r="F49" s="2">
        <v>40</v>
      </c>
      <c r="G49" s="4" t="s">
        <v>57</v>
      </c>
      <c r="H49" s="5"/>
      <c r="I49" s="2" t="s">
        <v>44</v>
      </c>
      <c r="J49" s="3" t="s">
        <v>58</v>
      </c>
    </row>
    <row r="50" spans="1:10" x14ac:dyDescent="0.25">
      <c r="A50" s="2" t="s">
        <v>42</v>
      </c>
      <c r="B50" s="2" t="s">
        <v>11</v>
      </c>
      <c r="C50" s="3"/>
      <c r="D50" s="3" t="s">
        <v>53</v>
      </c>
      <c r="E50" s="3" t="s">
        <v>47</v>
      </c>
      <c r="F50" s="2">
        <v>36</v>
      </c>
      <c r="G50" s="4" t="s">
        <v>57</v>
      </c>
      <c r="H50" s="5"/>
      <c r="I50" s="2" t="s">
        <v>44</v>
      </c>
      <c r="J50" s="3" t="s">
        <v>58</v>
      </c>
    </row>
    <row r="51" spans="1:10" x14ac:dyDescent="0.25">
      <c r="A51" s="2" t="s">
        <v>42</v>
      </c>
      <c r="B51" s="2" t="s">
        <v>11</v>
      </c>
      <c r="C51" s="3"/>
      <c r="D51" s="3" t="s">
        <v>53</v>
      </c>
      <c r="E51" s="3" t="s">
        <v>59</v>
      </c>
      <c r="F51" s="2">
        <v>125</v>
      </c>
      <c r="G51" s="4">
        <v>0.04</v>
      </c>
      <c r="H51" s="5">
        <v>0.36</v>
      </c>
      <c r="I51" s="2" t="s">
        <v>44</v>
      </c>
      <c r="J51" s="3" t="s">
        <v>56</v>
      </c>
    </row>
    <row r="52" spans="1:10" x14ac:dyDescent="0.25">
      <c r="A52" s="2" t="s">
        <v>42</v>
      </c>
      <c r="B52" s="2" t="s">
        <v>21</v>
      </c>
      <c r="C52" s="3" t="s">
        <v>22</v>
      </c>
      <c r="D52" s="3" t="s">
        <v>23</v>
      </c>
      <c r="E52" s="3" t="s">
        <v>43</v>
      </c>
      <c r="F52" s="2">
        <v>37</v>
      </c>
      <c r="G52" s="4">
        <v>4.8</v>
      </c>
      <c r="H52" s="5">
        <v>1.2</v>
      </c>
      <c r="I52" s="2" t="s">
        <v>23</v>
      </c>
      <c r="J52" s="3"/>
    </row>
    <row r="53" spans="1:10" x14ac:dyDescent="0.25">
      <c r="A53" s="2" t="s">
        <v>42</v>
      </c>
      <c r="B53" s="2" t="s">
        <v>21</v>
      </c>
      <c r="C53" s="3" t="s">
        <v>22</v>
      </c>
      <c r="D53" s="3" t="s">
        <v>23</v>
      </c>
      <c r="E53" s="3" t="s">
        <v>46</v>
      </c>
      <c r="F53" s="2">
        <v>40</v>
      </c>
      <c r="G53" s="4">
        <v>3.6</v>
      </c>
      <c r="H53" s="5">
        <v>0.4</v>
      </c>
      <c r="I53" s="2" t="s">
        <v>23</v>
      </c>
      <c r="J53" s="3"/>
    </row>
    <row r="54" spans="1:10" x14ac:dyDescent="0.25">
      <c r="A54" s="2" t="s">
        <v>42</v>
      </c>
      <c r="B54" s="2" t="s">
        <v>21</v>
      </c>
      <c r="C54" s="3" t="s">
        <v>22</v>
      </c>
      <c r="D54" s="3" t="s">
        <v>23</v>
      </c>
      <c r="E54" s="3" t="s">
        <v>47</v>
      </c>
      <c r="F54" s="2">
        <v>29</v>
      </c>
      <c r="G54" s="4">
        <v>8.6</v>
      </c>
      <c r="H54" s="5">
        <v>1</v>
      </c>
      <c r="I54" s="2" t="s">
        <v>23</v>
      </c>
      <c r="J54" s="3"/>
    </row>
    <row r="55" spans="1:10" x14ac:dyDescent="0.25">
      <c r="A55" s="2" t="s">
        <v>42</v>
      </c>
      <c r="B55" s="2" t="s">
        <v>21</v>
      </c>
      <c r="C55" s="3" t="s">
        <v>22</v>
      </c>
      <c r="D55" s="3" t="s">
        <v>23</v>
      </c>
      <c r="E55" s="3" t="s">
        <v>48</v>
      </c>
      <c r="F55" s="2">
        <v>40</v>
      </c>
      <c r="G55" s="4">
        <v>8.6</v>
      </c>
      <c r="H55" s="5">
        <v>1.8</v>
      </c>
      <c r="I55" s="2" t="s">
        <v>23</v>
      </c>
      <c r="J55" s="3"/>
    </row>
    <row r="56" spans="1:10" x14ac:dyDescent="0.25">
      <c r="A56" s="2" t="s">
        <v>42</v>
      </c>
      <c r="B56" s="2" t="s">
        <v>21</v>
      </c>
      <c r="C56" s="3" t="s">
        <v>22</v>
      </c>
      <c r="D56" s="3" t="s">
        <v>23</v>
      </c>
      <c r="E56" s="3" t="s">
        <v>49</v>
      </c>
      <c r="F56" s="2">
        <v>40</v>
      </c>
      <c r="G56" s="4">
        <v>6.3</v>
      </c>
      <c r="H56" s="5">
        <v>0.9</v>
      </c>
      <c r="I56" s="2" t="s">
        <v>23</v>
      </c>
      <c r="J56" s="3"/>
    </row>
    <row r="57" spans="1:10" x14ac:dyDescent="0.25">
      <c r="A57" s="2" t="s">
        <v>42</v>
      </c>
      <c r="B57" s="2" t="s">
        <v>21</v>
      </c>
      <c r="C57" s="3" t="s">
        <v>22</v>
      </c>
      <c r="D57" s="3" t="s">
        <v>23</v>
      </c>
      <c r="E57" s="3" t="s">
        <v>50</v>
      </c>
      <c r="F57" s="2">
        <v>40</v>
      </c>
      <c r="G57" s="4">
        <v>3.8</v>
      </c>
      <c r="H57" s="5">
        <v>0.9</v>
      </c>
      <c r="I57" s="2" t="s">
        <v>23</v>
      </c>
      <c r="J57" s="3"/>
    </row>
    <row r="58" spans="1:10" x14ac:dyDescent="0.25">
      <c r="A58" s="2" t="s">
        <v>42</v>
      </c>
      <c r="B58" s="2" t="s">
        <v>21</v>
      </c>
      <c r="C58" s="3" t="s">
        <v>22</v>
      </c>
      <c r="D58" s="3" t="s">
        <v>23</v>
      </c>
      <c r="E58" s="3" t="s">
        <v>51</v>
      </c>
      <c r="F58" s="2">
        <v>40</v>
      </c>
      <c r="G58" s="4">
        <v>2.8</v>
      </c>
      <c r="H58" s="5">
        <v>1.2</v>
      </c>
      <c r="I58" s="2" t="s">
        <v>23</v>
      </c>
      <c r="J58" s="3"/>
    </row>
    <row r="59" spans="1:10" x14ac:dyDescent="0.25">
      <c r="A59" s="2" t="s">
        <v>42</v>
      </c>
      <c r="B59" s="2" t="s">
        <v>20</v>
      </c>
      <c r="C59" s="3"/>
      <c r="D59" s="3" t="s">
        <v>13</v>
      </c>
      <c r="E59" s="3" t="s">
        <v>43</v>
      </c>
      <c r="F59" s="2">
        <v>40</v>
      </c>
      <c r="G59" s="4"/>
      <c r="H59" s="5"/>
      <c r="I59" s="2" t="s">
        <v>44</v>
      </c>
      <c r="J59" s="3" t="s">
        <v>60</v>
      </c>
    </row>
    <row r="60" spans="1:10" x14ac:dyDescent="0.25">
      <c r="A60" s="6" t="s">
        <v>61</v>
      </c>
      <c r="B60" s="6" t="s">
        <v>21</v>
      </c>
      <c r="C60" s="7" t="s">
        <v>22</v>
      </c>
      <c r="D60" s="7" t="s">
        <v>23</v>
      </c>
      <c r="E60" s="7" t="s">
        <v>62</v>
      </c>
      <c r="F60" s="6">
        <v>32</v>
      </c>
      <c r="G60" s="8">
        <v>9</v>
      </c>
      <c r="H60" s="9">
        <v>1</v>
      </c>
      <c r="I60" s="6" t="s">
        <v>63</v>
      </c>
      <c r="J60" s="7"/>
    </row>
    <row r="61" spans="1:10" x14ac:dyDescent="0.25">
      <c r="A61" s="6" t="s">
        <v>61</v>
      </c>
      <c r="B61" s="6" t="s">
        <v>21</v>
      </c>
      <c r="C61" s="7" t="s">
        <v>22</v>
      </c>
      <c r="D61" s="7" t="s">
        <v>23</v>
      </c>
      <c r="E61" s="7" t="s">
        <v>64</v>
      </c>
      <c r="F61" s="6">
        <v>30</v>
      </c>
      <c r="G61" s="8">
        <v>10.9</v>
      </c>
      <c r="H61" s="9">
        <v>1.4</v>
      </c>
      <c r="I61" s="6" t="s">
        <v>63</v>
      </c>
      <c r="J61" s="7"/>
    </row>
    <row r="62" spans="1:10" x14ac:dyDescent="0.25">
      <c r="A62" s="6" t="s">
        <v>61</v>
      </c>
      <c r="B62" s="6" t="s">
        <v>17</v>
      </c>
      <c r="C62" s="7"/>
      <c r="D62" s="7" t="s">
        <v>13</v>
      </c>
      <c r="E62" s="7" t="s">
        <v>62</v>
      </c>
      <c r="F62" s="6">
        <v>32</v>
      </c>
      <c r="G62" s="8">
        <v>6.3</v>
      </c>
      <c r="H62" s="9">
        <v>1.3</v>
      </c>
      <c r="I62" s="6" t="s">
        <v>44</v>
      </c>
      <c r="J62" s="7"/>
    </row>
    <row r="63" spans="1:10" x14ac:dyDescent="0.25">
      <c r="A63" s="6" t="s">
        <v>61</v>
      </c>
      <c r="B63" s="6" t="s">
        <v>17</v>
      </c>
      <c r="C63" s="7"/>
      <c r="D63" s="7" t="s">
        <v>13</v>
      </c>
      <c r="E63" s="7" t="s">
        <v>64</v>
      </c>
      <c r="F63" s="6">
        <v>30</v>
      </c>
      <c r="G63" s="8">
        <v>6.2</v>
      </c>
      <c r="H63" s="9">
        <v>1.5</v>
      </c>
      <c r="I63" s="6" t="s">
        <v>44</v>
      </c>
      <c r="J63" s="7"/>
    </row>
    <row r="64" spans="1:10" x14ac:dyDescent="0.25">
      <c r="A64" s="6" t="s">
        <v>61</v>
      </c>
      <c r="B64" s="6" t="s">
        <v>17</v>
      </c>
      <c r="C64" s="7"/>
      <c r="D64" s="7" t="s">
        <v>52</v>
      </c>
      <c r="E64" s="7" t="s">
        <v>62</v>
      </c>
      <c r="F64" s="6">
        <v>32</v>
      </c>
      <c r="G64" s="8">
        <v>7.5</v>
      </c>
      <c r="H64" s="9">
        <v>1.2</v>
      </c>
      <c r="I64" s="6" t="s">
        <v>44</v>
      </c>
      <c r="J64" s="7"/>
    </row>
    <row r="65" spans="1:10" x14ac:dyDescent="0.25">
      <c r="A65" s="6" t="s">
        <v>61</v>
      </c>
      <c r="B65" s="6" t="s">
        <v>17</v>
      </c>
      <c r="C65" s="7"/>
      <c r="D65" s="7" t="s">
        <v>52</v>
      </c>
      <c r="E65" s="7" t="s">
        <v>64</v>
      </c>
      <c r="F65" s="6">
        <v>30</v>
      </c>
      <c r="G65" s="8">
        <v>7.6</v>
      </c>
      <c r="H65" s="9">
        <v>2</v>
      </c>
      <c r="I65" s="6" t="s">
        <v>44</v>
      </c>
      <c r="J65" s="7"/>
    </row>
    <row r="66" spans="1:10" x14ac:dyDescent="0.25">
      <c r="A66" s="6" t="s">
        <v>61</v>
      </c>
      <c r="B66" s="6" t="s">
        <v>17</v>
      </c>
      <c r="C66" s="7"/>
      <c r="D66" s="7" t="s">
        <v>65</v>
      </c>
      <c r="E66" s="7" t="s">
        <v>62</v>
      </c>
      <c r="F66" s="6">
        <v>32</v>
      </c>
      <c r="G66" s="8">
        <v>5.4</v>
      </c>
      <c r="H66" s="9">
        <v>1.2</v>
      </c>
      <c r="I66" s="6" t="s">
        <v>44</v>
      </c>
      <c r="J66" s="7"/>
    </row>
    <row r="67" spans="1:10" x14ac:dyDescent="0.25">
      <c r="A67" s="6" t="s">
        <v>61</v>
      </c>
      <c r="B67" s="6" t="s">
        <v>17</v>
      </c>
      <c r="C67" s="7"/>
      <c r="D67" s="7" t="s">
        <v>65</v>
      </c>
      <c r="E67" s="7" t="s">
        <v>64</v>
      </c>
      <c r="F67" s="6">
        <v>30</v>
      </c>
      <c r="G67" s="8">
        <v>5</v>
      </c>
      <c r="H67" s="9">
        <v>1.3</v>
      </c>
      <c r="I67" s="6" t="s">
        <v>44</v>
      </c>
      <c r="J67" s="7"/>
    </row>
    <row r="68" spans="1:10" x14ac:dyDescent="0.25">
      <c r="A68" s="6" t="s">
        <v>61</v>
      </c>
      <c r="B68" s="6" t="s">
        <v>17</v>
      </c>
      <c r="C68" s="7"/>
      <c r="D68" s="7" t="s">
        <v>66</v>
      </c>
      <c r="E68" s="7" t="s">
        <v>62</v>
      </c>
      <c r="F68" s="6">
        <v>32</v>
      </c>
      <c r="G68" s="8">
        <v>4.5999999999999996</v>
      </c>
      <c r="H68" s="9">
        <v>1.5</v>
      </c>
      <c r="I68" s="6" t="s">
        <v>44</v>
      </c>
      <c r="J68" s="7"/>
    </row>
    <row r="69" spans="1:10" x14ac:dyDescent="0.25">
      <c r="A69" s="6" t="s">
        <v>61</v>
      </c>
      <c r="B69" s="6" t="s">
        <v>17</v>
      </c>
      <c r="C69" s="7"/>
      <c r="D69" s="7" t="s">
        <v>66</v>
      </c>
      <c r="E69" s="7" t="s">
        <v>64</v>
      </c>
      <c r="F69" s="6">
        <v>30</v>
      </c>
      <c r="G69" s="8">
        <v>4.2</v>
      </c>
      <c r="H69" s="9">
        <v>1.2</v>
      </c>
      <c r="I69" s="6" t="s">
        <v>44</v>
      </c>
      <c r="J69" s="7"/>
    </row>
    <row r="70" spans="1:10" x14ac:dyDescent="0.25">
      <c r="A70" s="6" t="s">
        <v>61</v>
      </c>
      <c r="B70" s="6" t="s">
        <v>17</v>
      </c>
      <c r="C70" s="7"/>
      <c r="D70" s="7" t="s">
        <v>67</v>
      </c>
      <c r="E70" s="7" t="s">
        <v>62</v>
      </c>
      <c r="F70" s="6">
        <v>32</v>
      </c>
      <c r="G70" s="8">
        <v>8</v>
      </c>
      <c r="H70" s="9">
        <v>1.9</v>
      </c>
      <c r="I70" s="6" t="s">
        <v>44</v>
      </c>
      <c r="J70" s="7"/>
    </row>
    <row r="71" spans="1:10" x14ac:dyDescent="0.25">
      <c r="A71" s="6" t="s">
        <v>61</v>
      </c>
      <c r="B71" s="6" t="s">
        <v>17</v>
      </c>
      <c r="C71" s="7"/>
      <c r="D71" s="7" t="s">
        <v>67</v>
      </c>
      <c r="E71" s="7" t="s">
        <v>64</v>
      </c>
      <c r="F71" s="6">
        <v>30</v>
      </c>
      <c r="G71" s="8">
        <v>6.6</v>
      </c>
      <c r="H71" s="9">
        <v>1.7</v>
      </c>
      <c r="I71" s="6" t="s">
        <v>44</v>
      </c>
      <c r="J71" s="7"/>
    </row>
    <row r="72" spans="1:10" x14ac:dyDescent="0.25">
      <c r="A72" s="6" t="s">
        <v>61</v>
      </c>
      <c r="B72" s="6" t="s">
        <v>11</v>
      </c>
      <c r="C72" s="7"/>
      <c r="D72" s="7" t="s">
        <v>13</v>
      </c>
      <c r="E72" s="7" t="s">
        <v>62</v>
      </c>
      <c r="F72" s="6">
        <v>32</v>
      </c>
      <c r="G72" s="8">
        <v>15.4</v>
      </c>
      <c r="H72" s="9">
        <v>2.7</v>
      </c>
      <c r="I72" s="6" t="s">
        <v>44</v>
      </c>
      <c r="J72" s="7"/>
    </row>
    <row r="73" spans="1:10" x14ac:dyDescent="0.25">
      <c r="A73" s="6" t="s">
        <v>61</v>
      </c>
      <c r="B73" s="6" t="s">
        <v>11</v>
      </c>
      <c r="C73" s="7"/>
      <c r="D73" s="7" t="s">
        <v>13</v>
      </c>
      <c r="E73" s="7" t="s">
        <v>64</v>
      </c>
      <c r="F73" s="6">
        <v>30</v>
      </c>
      <c r="G73" s="8">
        <v>18.2</v>
      </c>
      <c r="H73" s="9">
        <v>2.6</v>
      </c>
      <c r="I73" s="6" t="s">
        <v>44</v>
      </c>
      <c r="J73" s="7"/>
    </row>
    <row r="74" spans="1:10" x14ac:dyDescent="0.25">
      <c r="A74" s="6" t="s">
        <v>61</v>
      </c>
      <c r="B74" s="6" t="s">
        <v>11</v>
      </c>
      <c r="C74" s="7"/>
      <c r="D74" s="7" t="s">
        <v>52</v>
      </c>
      <c r="E74" s="7" t="s">
        <v>62</v>
      </c>
      <c r="F74" s="6">
        <v>32</v>
      </c>
      <c r="G74" s="8">
        <v>7.1</v>
      </c>
      <c r="H74" s="9">
        <v>1.3</v>
      </c>
      <c r="I74" s="6" t="s">
        <v>44</v>
      </c>
      <c r="J74" s="7"/>
    </row>
    <row r="75" spans="1:10" x14ac:dyDescent="0.25">
      <c r="A75" s="6" t="s">
        <v>61</v>
      </c>
      <c r="B75" s="6" t="s">
        <v>11</v>
      </c>
      <c r="C75" s="7"/>
      <c r="D75" s="7" t="s">
        <v>52</v>
      </c>
      <c r="E75" s="7" t="s">
        <v>64</v>
      </c>
      <c r="F75" s="6">
        <v>30</v>
      </c>
      <c r="G75" s="8">
        <v>4.9000000000000004</v>
      </c>
      <c r="H75" s="9">
        <v>1.4</v>
      </c>
      <c r="I75" s="6" t="s">
        <v>44</v>
      </c>
      <c r="J75" s="7"/>
    </row>
    <row r="76" spans="1:10" x14ac:dyDescent="0.25">
      <c r="A76" s="6" t="s">
        <v>61</v>
      </c>
      <c r="B76" s="6" t="s">
        <v>11</v>
      </c>
      <c r="C76" s="7" t="s">
        <v>68</v>
      </c>
      <c r="D76" s="7" t="s">
        <v>52</v>
      </c>
      <c r="E76" s="7" t="s">
        <v>62</v>
      </c>
      <c r="F76" s="6">
        <v>32</v>
      </c>
      <c r="G76" s="8">
        <v>4.5</v>
      </c>
      <c r="H76" s="9">
        <v>1.1000000000000001</v>
      </c>
      <c r="I76" s="6" t="s">
        <v>44</v>
      </c>
      <c r="J76" s="7"/>
    </row>
    <row r="77" spans="1:10" x14ac:dyDescent="0.25">
      <c r="A77" s="6" t="s">
        <v>61</v>
      </c>
      <c r="B77" s="6" t="s">
        <v>11</v>
      </c>
      <c r="C77" s="7" t="s">
        <v>68</v>
      </c>
      <c r="D77" s="7" t="s">
        <v>52</v>
      </c>
      <c r="E77" s="7" t="s">
        <v>64</v>
      </c>
      <c r="F77" s="6">
        <v>30</v>
      </c>
      <c r="G77" s="8">
        <v>4</v>
      </c>
      <c r="H77" s="9">
        <v>1.2</v>
      </c>
      <c r="I77" s="6" t="s">
        <v>44</v>
      </c>
      <c r="J77" s="7"/>
    </row>
    <row r="78" spans="1:10" x14ac:dyDescent="0.25">
      <c r="A78" s="6" t="s">
        <v>61</v>
      </c>
      <c r="B78" s="6" t="s">
        <v>69</v>
      </c>
      <c r="C78" s="7" t="s">
        <v>70</v>
      </c>
      <c r="D78" s="7" t="s">
        <v>52</v>
      </c>
      <c r="E78" s="7" t="s">
        <v>62</v>
      </c>
      <c r="F78" s="6">
        <v>32</v>
      </c>
      <c r="G78" s="8">
        <v>6.3</v>
      </c>
      <c r="H78" s="9">
        <v>2.1</v>
      </c>
      <c r="I78" s="6" t="s">
        <v>44</v>
      </c>
      <c r="J78" s="7"/>
    </row>
    <row r="79" spans="1:10" x14ac:dyDescent="0.25">
      <c r="A79" s="6" t="s">
        <v>61</v>
      </c>
      <c r="B79" s="6" t="s">
        <v>69</v>
      </c>
      <c r="C79" s="7" t="s">
        <v>70</v>
      </c>
      <c r="D79" s="7" t="s">
        <v>52</v>
      </c>
      <c r="E79" s="7" t="s">
        <v>64</v>
      </c>
      <c r="F79" s="6">
        <v>30</v>
      </c>
      <c r="G79" s="8">
        <v>5.7</v>
      </c>
      <c r="H79" s="9">
        <v>1.7</v>
      </c>
      <c r="I79" s="6" t="s">
        <v>44</v>
      </c>
      <c r="J79" s="7"/>
    </row>
    <row r="80" spans="1:10" x14ac:dyDescent="0.25">
      <c r="A80" s="6" t="s">
        <v>61</v>
      </c>
      <c r="B80" s="6" t="s">
        <v>69</v>
      </c>
      <c r="C80" s="7" t="s">
        <v>70</v>
      </c>
      <c r="D80" s="7" t="s">
        <v>65</v>
      </c>
      <c r="E80" s="7" t="s">
        <v>62</v>
      </c>
      <c r="F80" s="6">
        <v>32</v>
      </c>
      <c r="G80" s="8">
        <v>3.8</v>
      </c>
      <c r="H80" s="9">
        <v>0.9</v>
      </c>
      <c r="I80" s="6" t="s">
        <v>44</v>
      </c>
      <c r="J80" s="7"/>
    </row>
    <row r="81" spans="1:10" x14ac:dyDescent="0.25">
      <c r="A81" s="6" t="s">
        <v>61</v>
      </c>
      <c r="B81" s="6" t="s">
        <v>69</v>
      </c>
      <c r="C81" s="7" t="s">
        <v>70</v>
      </c>
      <c r="D81" s="7" t="s">
        <v>65</v>
      </c>
      <c r="E81" s="7" t="s">
        <v>64</v>
      </c>
      <c r="F81" s="6">
        <v>30</v>
      </c>
      <c r="G81" s="8">
        <v>3.1</v>
      </c>
      <c r="H81" s="9">
        <v>1.3</v>
      </c>
      <c r="I81" s="6" t="s">
        <v>44</v>
      </c>
      <c r="J81" s="7"/>
    </row>
    <row r="82" spans="1:10" x14ac:dyDescent="0.25">
      <c r="A82" s="6" t="s">
        <v>61</v>
      </c>
      <c r="B82" s="6" t="s">
        <v>11</v>
      </c>
      <c r="C82" s="7" t="s">
        <v>68</v>
      </c>
      <c r="D82" s="7" t="s">
        <v>65</v>
      </c>
      <c r="E82" s="7" t="s">
        <v>62</v>
      </c>
      <c r="F82" s="6">
        <v>32</v>
      </c>
      <c r="G82" s="8">
        <v>3.4</v>
      </c>
      <c r="H82" s="9">
        <v>0.6</v>
      </c>
      <c r="I82" s="6" t="s">
        <v>44</v>
      </c>
      <c r="J82" s="7"/>
    </row>
    <row r="83" spans="1:10" x14ac:dyDescent="0.25">
      <c r="A83" s="6" t="s">
        <v>61</v>
      </c>
      <c r="B83" s="6" t="s">
        <v>11</v>
      </c>
      <c r="C83" s="7" t="s">
        <v>68</v>
      </c>
      <c r="D83" s="7" t="s">
        <v>65</v>
      </c>
      <c r="E83" s="7" t="s">
        <v>64</v>
      </c>
      <c r="F83" s="6">
        <v>30</v>
      </c>
      <c r="G83" s="8">
        <v>3.5</v>
      </c>
      <c r="H83" s="9">
        <v>1.1000000000000001</v>
      </c>
      <c r="I83" s="6" t="s">
        <v>44</v>
      </c>
      <c r="J83" s="7"/>
    </row>
    <row r="84" spans="1:10" x14ac:dyDescent="0.25">
      <c r="A84" s="6" t="s">
        <v>61</v>
      </c>
      <c r="B84" s="6" t="s">
        <v>11</v>
      </c>
      <c r="C84" s="7" t="s">
        <v>68</v>
      </c>
      <c r="D84" s="7" t="s">
        <v>66</v>
      </c>
      <c r="E84" s="7" t="s">
        <v>62</v>
      </c>
      <c r="F84" s="6">
        <v>32</v>
      </c>
      <c r="G84" s="8">
        <v>3</v>
      </c>
      <c r="H84" s="9">
        <v>1.2</v>
      </c>
      <c r="I84" s="6" t="s">
        <v>44</v>
      </c>
      <c r="J84" s="7"/>
    </row>
    <row r="85" spans="1:10" x14ac:dyDescent="0.25">
      <c r="A85" s="6" t="s">
        <v>61</v>
      </c>
      <c r="B85" s="6" t="s">
        <v>11</v>
      </c>
      <c r="C85" s="7" t="s">
        <v>68</v>
      </c>
      <c r="D85" s="7" t="s">
        <v>66</v>
      </c>
      <c r="E85" s="7" t="s">
        <v>64</v>
      </c>
      <c r="F85" s="6">
        <v>30</v>
      </c>
      <c r="G85" s="8">
        <v>2.9</v>
      </c>
      <c r="H85" s="9">
        <v>0.8</v>
      </c>
      <c r="I85" s="6" t="s">
        <v>44</v>
      </c>
      <c r="J85" s="7"/>
    </row>
    <row r="86" spans="1:10" x14ac:dyDescent="0.25">
      <c r="A86" s="6" t="s">
        <v>61</v>
      </c>
      <c r="B86" s="6" t="s">
        <v>11</v>
      </c>
      <c r="C86" s="7" t="s">
        <v>68</v>
      </c>
      <c r="D86" s="7" t="s">
        <v>71</v>
      </c>
      <c r="E86" s="7" t="s">
        <v>62</v>
      </c>
      <c r="F86" s="6">
        <v>32</v>
      </c>
      <c r="G86" s="8">
        <v>3</v>
      </c>
      <c r="H86" s="9">
        <v>1.2</v>
      </c>
      <c r="I86" s="6" t="s">
        <v>44</v>
      </c>
      <c r="J86" s="7"/>
    </row>
    <row r="87" spans="1:10" x14ac:dyDescent="0.25">
      <c r="A87" s="6" t="s">
        <v>61</v>
      </c>
      <c r="B87" s="6" t="s">
        <v>11</v>
      </c>
      <c r="C87" s="7" t="s">
        <v>68</v>
      </c>
      <c r="D87" s="7" t="s">
        <v>71</v>
      </c>
      <c r="E87" s="7" t="s">
        <v>64</v>
      </c>
      <c r="F87" s="6">
        <v>30</v>
      </c>
      <c r="G87" s="8">
        <v>3.1</v>
      </c>
      <c r="H87" s="9">
        <v>0.8</v>
      </c>
      <c r="I87" s="6" t="s">
        <v>44</v>
      </c>
      <c r="J87" s="7"/>
    </row>
    <row r="88" spans="1:10" x14ac:dyDescent="0.25">
      <c r="A88" s="6" t="s">
        <v>61</v>
      </c>
      <c r="B88" s="6" t="s">
        <v>11</v>
      </c>
      <c r="C88" s="7" t="s">
        <v>68</v>
      </c>
      <c r="D88" s="7" t="s">
        <v>72</v>
      </c>
      <c r="E88" s="7" t="s">
        <v>62</v>
      </c>
      <c r="F88" s="6">
        <v>32</v>
      </c>
      <c r="G88" s="8">
        <v>5</v>
      </c>
      <c r="H88" s="9">
        <v>1.1000000000000001</v>
      </c>
      <c r="I88" s="6" t="s">
        <v>44</v>
      </c>
      <c r="J88" s="7" t="s">
        <v>73</v>
      </c>
    </row>
    <row r="89" spans="1:10" x14ac:dyDescent="0.25">
      <c r="A89" s="6" t="s">
        <v>61</v>
      </c>
      <c r="B89" s="6" t="s">
        <v>11</v>
      </c>
      <c r="C89" s="7" t="s">
        <v>68</v>
      </c>
      <c r="D89" s="7" t="s">
        <v>72</v>
      </c>
      <c r="E89" s="7" t="s">
        <v>64</v>
      </c>
      <c r="F89" s="6">
        <v>30</v>
      </c>
      <c r="G89" s="8">
        <v>5.5</v>
      </c>
      <c r="H89" s="9">
        <v>1.2</v>
      </c>
      <c r="I89" s="6" t="s">
        <v>44</v>
      </c>
      <c r="J89" s="7" t="s">
        <v>73</v>
      </c>
    </row>
    <row r="90" spans="1:10" ht="25.5" x14ac:dyDescent="0.25">
      <c r="A90" s="6" t="s">
        <v>61</v>
      </c>
      <c r="B90" s="6" t="s">
        <v>11</v>
      </c>
      <c r="C90" s="7" t="s">
        <v>68</v>
      </c>
      <c r="D90" s="7" t="s">
        <v>74</v>
      </c>
      <c r="E90" s="7" t="s">
        <v>62</v>
      </c>
      <c r="F90" s="6">
        <v>32</v>
      </c>
      <c r="G90" s="8">
        <v>2.2000000000000002</v>
      </c>
      <c r="H90" s="9">
        <v>0.6</v>
      </c>
      <c r="I90" s="6" t="s">
        <v>44</v>
      </c>
      <c r="J90" s="7"/>
    </row>
    <row r="91" spans="1:10" ht="25.5" x14ac:dyDescent="0.25">
      <c r="A91" s="6" t="s">
        <v>61</v>
      </c>
      <c r="B91" s="6" t="s">
        <v>11</v>
      </c>
      <c r="C91" s="7" t="s">
        <v>68</v>
      </c>
      <c r="D91" s="7" t="s">
        <v>74</v>
      </c>
      <c r="E91" s="7" t="s">
        <v>64</v>
      </c>
      <c r="F91" s="6">
        <v>30</v>
      </c>
      <c r="G91" s="8">
        <v>3.4</v>
      </c>
      <c r="H91" s="9">
        <v>1.1000000000000001</v>
      </c>
      <c r="I91" s="6" t="s">
        <v>44</v>
      </c>
      <c r="J91" s="7"/>
    </row>
    <row r="92" spans="1:10" x14ac:dyDescent="0.25">
      <c r="A92" s="6" t="s">
        <v>61</v>
      </c>
      <c r="B92" s="6" t="s">
        <v>11</v>
      </c>
      <c r="C92" s="7" t="s">
        <v>68</v>
      </c>
      <c r="D92" s="7" t="s">
        <v>75</v>
      </c>
      <c r="E92" s="7" t="s">
        <v>62</v>
      </c>
      <c r="F92" s="6">
        <v>32</v>
      </c>
      <c r="G92" s="8">
        <v>2.4</v>
      </c>
      <c r="H92" s="9">
        <v>0.7</v>
      </c>
      <c r="I92" s="6" t="s">
        <v>44</v>
      </c>
      <c r="J92" s="7"/>
    </row>
    <row r="93" spans="1:10" x14ac:dyDescent="0.25">
      <c r="A93" s="6" t="s">
        <v>61</v>
      </c>
      <c r="B93" s="6" t="s">
        <v>11</v>
      </c>
      <c r="C93" s="7" t="s">
        <v>68</v>
      </c>
      <c r="D93" s="7" t="s">
        <v>75</v>
      </c>
      <c r="E93" s="7" t="s">
        <v>64</v>
      </c>
      <c r="F93" s="6">
        <v>30</v>
      </c>
      <c r="G93" s="8">
        <v>4</v>
      </c>
      <c r="H93" s="9">
        <v>1.3</v>
      </c>
      <c r="I93" s="6" t="s">
        <v>44</v>
      </c>
      <c r="J93" s="7"/>
    </row>
    <row r="94" spans="1:10" ht="25.5" x14ac:dyDescent="0.25">
      <c r="A94" s="6" t="s">
        <v>61</v>
      </c>
      <c r="B94" s="6" t="s">
        <v>11</v>
      </c>
      <c r="C94" s="7" t="s">
        <v>68</v>
      </c>
      <c r="D94" s="7" t="s">
        <v>76</v>
      </c>
      <c r="E94" s="7" t="s">
        <v>62</v>
      </c>
      <c r="F94" s="6">
        <v>32</v>
      </c>
      <c r="G94" s="8">
        <v>2.5</v>
      </c>
      <c r="H94" s="9">
        <v>1.2</v>
      </c>
      <c r="I94" s="6" t="s">
        <v>44</v>
      </c>
      <c r="J94" s="7"/>
    </row>
    <row r="95" spans="1:10" ht="25.5" x14ac:dyDescent="0.25">
      <c r="A95" s="6" t="s">
        <v>61</v>
      </c>
      <c r="B95" s="6" t="s">
        <v>11</v>
      </c>
      <c r="C95" s="7" t="s">
        <v>68</v>
      </c>
      <c r="D95" s="7" t="s">
        <v>76</v>
      </c>
      <c r="E95" s="7" t="s">
        <v>64</v>
      </c>
      <c r="F95" s="6">
        <v>30</v>
      </c>
      <c r="G95" s="8">
        <v>2.8</v>
      </c>
      <c r="H95" s="9">
        <v>1.1000000000000001</v>
      </c>
      <c r="I95" s="6" t="s">
        <v>44</v>
      </c>
      <c r="J95" s="7"/>
    </row>
    <row r="96" spans="1:10" x14ac:dyDescent="0.25">
      <c r="A96" s="6" t="s">
        <v>61</v>
      </c>
      <c r="B96" s="6" t="s">
        <v>11</v>
      </c>
      <c r="C96" s="7" t="s">
        <v>68</v>
      </c>
      <c r="D96" s="7" t="s">
        <v>77</v>
      </c>
      <c r="E96" s="7" t="s">
        <v>62</v>
      </c>
      <c r="F96" s="6">
        <v>32</v>
      </c>
      <c r="G96" s="8">
        <v>4.4000000000000004</v>
      </c>
      <c r="H96" s="9">
        <v>1.4</v>
      </c>
      <c r="I96" s="6" t="s">
        <v>44</v>
      </c>
      <c r="J96" s="7" t="s">
        <v>73</v>
      </c>
    </row>
    <row r="97" spans="1:10" x14ac:dyDescent="0.25">
      <c r="A97" s="6" t="s">
        <v>61</v>
      </c>
      <c r="B97" s="6" t="s">
        <v>11</v>
      </c>
      <c r="C97" s="7" t="s">
        <v>68</v>
      </c>
      <c r="D97" s="7" t="s">
        <v>77</v>
      </c>
      <c r="E97" s="7" t="s">
        <v>64</v>
      </c>
      <c r="F97" s="6">
        <v>30</v>
      </c>
      <c r="G97" s="8">
        <v>3.5</v>
      </c>
      <c r="H97" s="9">
        <v>1.1000000000000001</v>
      </c>
      <c r="I97" s="6" t="s">
        <v>44</v>
      </c>
      <c r="J97" s="7" t="s">
        <v>73</v>
      </c>
    </row>
    <row r="98" spans="1:10" x14ac:dyDescent="0.25">
      <c r="A98" s="6" t="s">
        <v>61</v>
      </c>
      <c r="B98" s="6" t="s">
        <v>11</v>
      </c>
      <c r="C98" s="7" t="s">
        <v>68</v>
      </c>
      <c r="D98" s="7" t="s">
        <v>78</v>
      </c>
      <c r="E98" s="7" t="s">
        <v>62</v>
      </c>
      <c r="F98" s="6">
        <v>32</v>
      </c>
      <c r="G98" s="8">
        <v>2.2999999999999998</v>
      </c>
      <c r="H98" s="9">
        <v>0.9</v>
      </c>
      <c r="I98" s="6" t="s">
        <v>44</v>
      </c>
      <c r="J98" s="7"/>
    </row>
    <row r="99" spans="1:10" x14ac:dyDescent="0.25">
      <c r="A99" s="6" t="s">
        <v>61</v>
      </c>
      <c r="B99" s="6" t="s">
        <v>11</v>
      </c>
      <c r="C99" s="7" t="s">
        <v>68</v>
      </c>
      <c r="D99" s="7" t="s">
        <v>78</v>
      </c>
      <c r="E99" s="7" t="s">
        <v>64</v>
      </c>
      <c r="F99" s="6">
        <v>30</v>
      </c>
      <c r="G99" s="8">
        <v>3</v>
      </c>
      <c r="H99" s="9">
        <v>1.1000000000000001</v>
      </c>
      <c r="I99" s="6" t="s">
        <v>44</v>
      </c>
      <c r="J99" s="7"/>
    </row>
    <row r="100" spans="1:10" ht="25.5" x14ac:dyDescent="0.25">
      <c r="A100" s="6" t="s">
        <v>61</v>
      </c>
      <c r="B100" s="6" t="s">
        <v>79</v>
      </c>
      <c r="C100" s="7" t="s">
        <v>80</v>
      </c>
      <c r="D100" s="7" t="s">
        <v>81</v>
      </c>
      <c r="E100" s="7" t="s">
        <v>82</v>
      </c>
      <c r="F100" s="6">
        <v>64</v>
      </c>
      <c r="G100" s="8">
        <v>2.46</v>
      </c>
      <c r="H100" s="9">
        <v>0.49</v>
      </c>
      <c r="I100" s="6" t="s">
        <v>83</v>
      </c>
      <c r="J100" s="7" t="s">
        <v>84</v>
      </c>
    </row>
    <row r="101" spans="1:10" ht="25.5" x14ac:dyDescent="0.25">
      <c r="A101" s="6" t="s">
        <v>61</v>
      </c>
      <c r="B101" s="6" t="s">
        <v>79</v>
      </c>
      <c r="C101" s="7" t="s">
        <v>85</v>
      </c>
      <c r="D101" s="7" t="s">
        <v>81</v>
      </c>
      <c r="E101" s="7" t="s">
        <v>82</v>
      </c>
      <c r="F101" s="6">
        <v>64</v>
      </c>
      <c r="G101" s="8">
        <v>1.81</v>
      </c>
      <c r="H101" s="9">
        <v>0.36</v>
      </c>
      <c r="I101" s="6" t="s">
        <v>83</v>
      </c>
      <c r="J101" s="7" t="s">
        <v>86</v>
      </c>
    </row>
    <row r="102" spans="1:10" ht="25.5" x14ac:dyDescent="0.25">
      <c r="A102" s="6" t="s">
        <v>61</v>
      </c>
      <c r="B102" s="6" t="s">
        <v>79</v>
      </c>
      <c r="C102" s="7" t="s">
        <v>87</v>
      </c>
      <c r="D102" s="7" t="s">
        <v>81</v>
      </c>
      <c r="E102" s="7" t="s">
        <v>82</v>
      </c>
      <c r="F102" s="6">
        <v>64</v>
      </c>
      <c r="G102" s="8">
        <v>1.68</v>
      </c>
      <c r="H102" s="9">
        <v>0.35</v>
      </c>
      <c r="I102" s="6" t="s">
        <v>88</v>
      </c>
      <c r="J102" s="7" t="s">
        <v>89</v>
      </c>
    </row>
    <row r="103" spans="1:10" ht="25.5" x14ac:dyDescent="0.25">
      <c r="A103" s="6" t="s">
        <v>61</v>
      </c>
      <c r="B103" s="6" t="s">
        <v>79</v>
      </c>
      <c r="C103" s="7" t="s">
        <v>90</v>
      </c>
      <c r="D103" s="7" t="s">
        <v>81</v>
      </c>
      <c r="E103" s="7" t="s">
        <v>82</v>
      </c>
      <c r="F103" s="6">
        <v>64</v>
      </c>
      <c r="G103" s="8">
        <v>1.99</v>
      </c>
      <c r="H103" s="9">
        <v>0.46</v>
      </c>
      <c r="I103" s="6" t="s">
        <v>83</v>
      </c>
      <c r="J103" s="7" t="s">
        <v>91</v>
      </c>
    </row>
    <row r="104" spans="1:10" ht="25.5" x14ac:dyDescent="0.25">
      <c r="A104" s="6" t="s">
        <v>61</v>
      </c>
      <c r="B104" s="6" t="s">
        <v>92</v>
      </c>
      <c r="C104" s="7"/>
      <c r="D104" s="7"/>
      <c r="E104" s="7" t="s">
        <v>93</v>
      </c>
      <c r="F104" s="6">
        <v>32</v>
      </c>
      <c r="G104" s="8"/>
      <c r="H104" s="9"/>
      <c r="I104" s="6" t="s">
        <v>44</v>
      </c>
      <c r="J104" s="7" t="s">
        <v>94</v>
      </c>
    </row>
    <row r="105" spans="1:10" x14ac:dyDescent="0.25">
      <c r="A105" s="2" t="s">
        <v>95</v>
      </c>
      <c r="B105" s="2" t="s">
        <v>96</v>
      </c>
      <c r="C105" s="3" t="s">
        <v>97</v>
      </c>
      <c r="D105" s="3" t="s">
        <v>13</v>
      </c>
      <c r="E105" s="3" t="s">
        <v>14</v>
      </c>
      <c r="F105" s="2"/>
      <c r="G105" s="4">
        <v>7.6</v>
      </c>
      <c r="H105" s="5"/>
      <c r="I105" s="2" t="s">
        <v>23</v>
      </c>
      <c r="J105" s="3" t="s">
        <v>98</v>
      </c>
    </row>
    <row r="106" spans="1:10" x14ac:dyDescent="0.25">
      <c r="A106" s="2" t="s">
        <v>95</v>
      </c>
      <c r="B106" s="2" t="s">
        <v>96</v>
      </c>
      <c r="C106" s="3" t="s">
        <v>99</v>
      </c>
      <c r="D106" s="3" t="s">
        <v>13</v>
      </c>
      <c r="E106" s="3" t="s">
        <v>14</v>
      </c>
      <c r="F106" s="2"/>
      <c r="G106" s="4">
        <v>-0.2</v>
      </c>
      <c r="H106" s="5"/>
      <c r="I106" s="2" t="s">
        <v>23</v>
      </c>
      <c r="J106" s="3" t="s">
        <v>100</v>
      </c>
    </row>
    <row r="107" spans="1:10" ht="25.5" x14ac:dyDescent="0.25">
      <c r="A107" s="2" t="s">
        <v>95</v>
      </c>
      <c r="B107" s="2" t="s">
        <v>101</v>
      </c>
      <c r="C107" s="3" t="s">
        <v>102</v>
      </c>
      <c r="D107" s="3" t="s">
        <v>13</v>
      </c>
      <c r="E107" s="3" t="s">
        <v>103</v>
      </c>
      <c r="F107" s="2"/>
      <c r="G107" s="4"/>
      <c r="H107" s="5"/>
      <c r="I107" s="2" t="s">
        <v>23</v>
      </c>
      <c r="J107" s="3" t="s">
        <v>104</v>
      </c>
    </row>
    <row r="108" spans="1:10" ht="25.5" x14ac:dyDescent="0.25">
      <c r="A108" s="2" t="s">
        <v>95</v>
      </c>
      <c r="B108" s="2" t="s">
        <v>105</v>
      </c>
      <c r="C108" s="3" t="s">
        <v>106</v>
      </c>
      <c r="D108" s="3" t="s">
        <v>13</v>
      </c>
      <c r="E108" s="3" t="s">
        <v>107</v>
      </c>
      <c r="F108" s="2">
        <v>10</v>
      </c>
      <c r="G108" s="4"/>
      <c r="H108" s="5"/>
      <c r="I108" s="2" t="s">
        <v>23</v>
      </c>
      <c r="J108" s="3" t="s">
        <v>108</v>
      </c>
    </row>
  </sheetData>
  <autoFilter ref="A1:J108" xr:uid="{00000000-0009-0000-0000-000000000000}"/>
  <conditionalFormatting sqref="G60:G1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6" customWidth="1"/>
    <col min="2" max="2" width="110" customWidth="1"/>
  </cols>
  <sheetData>
    <row r="1" spans="1:2" ht="38.25" x14ac:dyDescent="0.25">
      <c r="A1" s="10" t="s">
        <v>109</v>
      </c>
      <c r="B1" s="11" t="s">
        <v>110</v>
      </c>
    </row>
    <row r="2" spans="1:2" ht="25.5" x14ac:dyDescent="0.25">
      <c r="A2" s="10" t="s">
        <v>5</v>
      </c>
      <c r="B2" s="11" t="s">
        <v>111</v>
      </c>
    </row>
    <row r="3" spans="1:2" ht="25.5" x14ac:dyDescent="0.25">
      <c r="A3" s="10" t="s">
        <v>112</v>
      </c>
      <c r="B3" s="11" t="s">
        <v>113</v>
      </c>
    </row>
    <row r="4" spans="1:2" ht="25.5" x14ac:dyDescent="0.25">
      <c r="A4" s="10" t="s">
        <v>8</v>
      </c>
      <c r="B4" s="11" t="s">
        <v>114</v>
      </c>
    </row>
    <row r="5" spans="1:2" ht="25.5" x14ac:dyDescent="0.25">
      <c r="A5" s="10" t="s">
        <v>115</v>
      </c>
      <c r="B5" s="11" t="s">
        <v>116</v>
      </c>
    </row>
    <row r="6" spans="1:2" x14ac:dyDescent="0.25">
      <c r="A6" s="10" t="s">
        <v>117</v>
      </c>
      <c r="B6" s="11" t="s">
        <v>118</v>
      </c>
    </row>
    <row r="7" spans="1:2" ht="25.5" x14ac:dyDescent="0.25">
      <c r="A7" s="10" t="s">
        <v>119</v>
      </c>
      <c r="B7" s="11" t="s">
        <v>120</v>
      </c>
    </row>
    <row r="8" spans="1:2" ht="51" x14ac:dyDescent="0.25">
      <c r="A8" s="10" t="s">
        <v>121</v>
      </c>
      <c r="B8" s="11" t="s">
        <v>122</v>
      </c>
    </row>
    <row r="9" spans="1:2" ht="25.5" x14ac:dyDescent="0.25">
      <c r="A9" s="10" t="s">
        <v>123</v>
      </c>
      <c r="B9" s="11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Celine Victoria Pagnier</cp:lastModifiedBy>
  <dcterms:created xsi:type="dcterms:W3CDTF">2026-10-20T07:48:11Z</dcterms:created>
  <dcterms:modified xsi:type="dcterms:W3CDTF">2026-10-20T07:53:31Z</dcterms:modified>
</cp:coreProperties>
</file>